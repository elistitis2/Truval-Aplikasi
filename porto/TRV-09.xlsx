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P &amp; Laba Rug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p #,##0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4" fillId="0" borderId="0" pivotButton="0" quotePrefix="0" xfId="0"/>
    <xf numFmtId="164" fontId="4" fillId="0" borderId="0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2" customWidth="1" min="3" max="3"/>
  </cols>
  <sheetData>
    <row r="1">
      <c r="A1" s="1" t="inlineStr">
        <is>
          <t>KONVEKSI BUSANA INDAH (UMKM FASHION)</t>
        </is>
      </c>
    </row>
    <row r="2">
      <c r="A2" s="2" t="inlineStr">
        <is>
          <t>LAPORAN HARGA POKOK PRODUKSI &amp; LABA RUGI - PERIODE 2025</t>
        </is>
      </c>
    </row>
    <row r="4">
      <c r="A4" s="3" t="inlineStr">
        <is>
          <t>Kode</t>
        </is>
      </c>
      <c r="B4" s="3" t="inlineStr">
        <is>
          <t>Elemen Biaya Produksi / Operasional</t>
        </is>
      </c>
      <c r="C4" s="3" t="inlineStr">
        <is>
          <t>Jumlah (Rp)</t>
        </is>
      </c>
    </row>
    <row r="5">
      <c r="A5" s="4" t="inlineStr">
        <is>
          <t>1. PENJUALAN</t>
        </is>
      </c>
      <c r="B5" s="4" t="inlineStr"/>
      <c r="C5" s="5" t="inlineStr"/>
    </row>
    <row r="6">
      <c r="A6" s="5" t="inlineStr">
        <is>
          <t>4-1000</t>
        </is>
      </c>
      <c r="B6" s="5" t="inlineStr">
        <is>
          <t>Hasil Penjualan Pakaian Jadi (Retail &amp; Wholesale)</t>
        </is>
      </c>
      <c r="C6" s="6" t="n">
        <v>125000000</v>
      </c>
    </row>
    <row r="7">
      <c r="A7" s="5" t="inlineStr"/>
      <c r="B7" s="5" t="inlineStr"/>
      <c r="C7" s="5" t="inlineStr"/>
    </row>
    <row r="8">
      <c r="A8" s="4" t="inlineStr">
        <is>
          <t>2. BIAYA PRODUKSI (MANUFAKTUR)</t>
        </is>
      </c>
      <c r="B8" s="4" t="inlineStr"/>
      <c r="C8" s="5" t="inlineStr"/>
    </row>
    <row r="9">
      <c r="A9" s="5" t="inlineStr">
        <is>
          <t>5-1100</t>
        </is>
      </c>
      <c r="B9" s="5" t="inlineStr">
        <is>
          <t>Bahan Baku Utama (Kain, Benang, Kancing, Resleting)</t>
        </is>
      </c>
      <c r="C9" s="6" t="n">
        <v>38000000</v>
      </c>
    </row>
    <row r="10">
      <c r="A10" s="5" t="inlineStr">
        <is>
          <t>5-1200</t>
        </is>
      </c>
      <c r="B10" s="5" t="inlineStr">
        <is>
          <t>Bahan Penolong (Label, Plastik, Hantag)</t>
        </is>
      </c>
      <c r="C10" s="6" t="n">
        <v>4500000</v>
      </c>
    </row>
    <row r="11">
      <c r="A11" s="5" t="inlineStr">
        <is>
          <t>5-1300</t>
        </is>
      </c>
      <c r="B11" s="5" t="inlineStr">
        <is>
          <t>Upah Penjahit &amp; Potong (Tenaga Kerja Langsung)</t>
        </is>
      </c>
      <c r="C11" s="6" t="n">
        <v>22000000</v>
      </c>
    </row>
    <row r="12">
      <c r="A12" s="5" t="inlineStr">
        <is>
          <t>5-1400</t>
        </is>
      </c>
      <c r="B12" s="5" t="inlineStr">
        <is>
          <t>Bebun Overhead Pabrik (Listrik Mesin, Olie, Maintenance)</t>
        </is>
      </c>
      <c r="C12" s="6" t="n">
        <v>5500000</v>
      </c>
    </row>
    <row r="13">
      <c r="A13" s="5" t="inlineStr">
        <is>
          <t>5-9000</t>
        </is>
      </c>
      <c r="B13" s="4" t="inlineStr">
        <is>
          <t>TOTAL BIAYA PRODUKSI / HPP</t>
        </is>
      </c>
      <c r="C13" s="7">
        <f>SUM(C9:C12)</f>
        <v/>
      </c>
    </row>
    <row r="14">
      <c r="A14" s="5" t="inlineStr"/>
      <c r="B14" s="5" t="inlineStr"/>
      <c r="C14" s="5" t="inlineStr"/>
    </row>
    <row r="15">
      <c r="A15" s="4" t="inlineStr">
        <is>
          <t>3. LABA KOTOR</t>
        </is>
      </c>
      <c r="B15" s="4" t="inlineStr"/>
      <c r="C15" s="6">
        <f>C6-C13</f>
        <v/>
      </c>
    </row>
    <row r="16">
      <c r="A16" s="5" t="inlineStr"/>
      <c r="B16" s="5" t="inlineStr"/>
      <c r="C16" s="5" t="inlineStr"/>
    </row>
    <row r="17">
      <c r="A17" s="4" t="inlineStr">
        <is>
          <t>4. BEBAN OPERASIONAL</t>
        </is>
      </c>
      <c r="B17" s="4" t="inlineStr"/>
      <c r="C17" s="5" t="inlineStr"/>
    </row>
    <row r="18">
      <c r="A18" s="5" t="inlineStr">
        <is>
          <t>6-1100</t>
        </is>
      </c>
      <c r="B18" s="5" t="inlineStr">
        <is>
          <t>Gaji Admin &amp; Staff Offine/Online Store</t>
        </is>
      </c>
      <c r="C18" s="6" t="n">
        <v>9000000</v>
      </c>
    </row>
    <row r="19">
      <c r="A19" s="5" t="inlineStr">
        <is>
          <t>6-1200</t>
        </is>
      </c>
      <c r="B19" s="5" t="inlineStr">
        <is>
          <t>Biaya Iklan Meta / TikTok Ads / Marketplace Fee</t>
        </is>
      </c>
      <c r="C19" s="6" t="n">
        <v>8500000</v>
      </c>
    </row>
    <row r="20">
      <c r="A20" s="5" t="inlineStr">
        <is>
          <t>6-1300</t>
        </is>
      </c>
      <c r="B20" s="5" t="inlineStr">
        <is>
          <t>Biaya Sewa Workshop &amp; Studio</t>
        </is>
      </c>
      <c r="C20" s="6" t="n">
        <v>4000000</v>
      </c>
    </row>
    <row r="21">
      <c r="A21" s="5" t="inlineStr">
        <is>
          <t>6-1400</t>
        </is>
      </c>
      <c r="B21" s="5" t="inlineStr">
        <is>
          <t>Biaya Operasional &amp; Packing</t>
        </is>
      </c>
      <c r="C21" s="6" t="n">
        <v>2500000</v>
      </c>
    </row>
    <row r="22">
      <c r="A22" s="5" t="inlineStr">
        <is>
          <t>6-9000</t>
        </is>
      </c>
      <c r="B22" s="4" t="inlineStr">
        <is>
          <t>TOTAL BEBAN OPERASIONAL</t>
        </is>
      </c>
      <c r="C22" s="7">
        <f>SUM(C17:C20)</f>
        <v/>
      </c>
    </row>
    <row r="23">
      <c r="A23" s="5" t="inlineStr"/>
      <c r="B23" s="5" t="inlineStr"/>
      <c r="C23" s="5" t="inlineStr"/>
    </row>
    <row r="24">
      <c r="A24" s="4" t="inlineStr">
        <is>
          <t>5. LABA BERSIH</t>
        </is>
      </c>
      <c r="B24" s="4" t="inlineStr"/>
      <c r="C24" s="6">
        <f>C15-C21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2026-10-27T08:37:18Z</dcterms:created>
  <dcterms:modified xmlns:dcterms="http://purl.org/dc/terms/" xmlns:xsi="http://www.w3.org/2001/XMLSchema-instance" xsi:type="dcterms:W3CDTF">2026-10-27T08:37:18Z</dcterms:modified>
</cp:coreProperties>
</file>