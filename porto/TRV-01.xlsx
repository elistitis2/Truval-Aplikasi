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65A1ACF-6067-40A7-9452-6C281295679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Jurnal Transaksi" sheetId="1" r:id="rId1"/>
    <sheet name="Laporan Laba Rugi" sheetId="2" r:id="rId2"/>
    <sheet name="Laporan Arus K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1" i="3" s="1"/>
  <c r="C13" i="2"/>
  <c r="C10" i="3" s="1"/>
  <c r="C12" i="2"/>
  <c r="C9" i="3" s="1"/>
  <c r="C11" i="2"/>
  <c r="C8" i="3" s="1"/>
  <c r="C7" i="2"/>
  <c r="C7" i="3" s="1"/>
  <c r="C6" i="2"/>
  <c r="C6" i="3" s="1"/>
  <c r="C12" i="3" s="1"/>
  <c r="C14" i="3" s="1"/>
  <c r="C16" i="3" s="1"/>
  <c r="G18" i="1"/>
  <c r="F18" i="1"/>
  <c r="C8" i="2" l="1"/>
  <c r="C15" i="2"/>
  <c r="C17" i="2" l="1"/>
</calcChain>
</file>

<file path=xl/sharedStrings.xml><?xml version="1.0" encoding="utf-8"?>
<sst xmlns="http://schemas.openxmlformats.org/spreadsheetml/2006/main" count="107" uniqueCount="82">
  <si>
    <t>JURNAL TRANSAKSI KEUANGAN</t>
  </si>
  <si>
    <t>Periode: Januari 2026</t>
  </si>
  <si>
    <t>No</t>
  </si>
  <si>
    <t>Tanggal</t>
  </si>
  <si>
    <t>Deskripsi Transaksi</t>
  </si>
  <si>
    <t>Kategori</t>
  </si>
  <si>
    <t>Jenis</t>
  </si>
  <si>
    <t>Pemasukan (IDR)</t>
  </si>
  <si>
    <t>Pengeluaran (IDR)</t>
  </si>
  <si>
    <t>2026-01-02</t>
  </si>
  <si>
    <t>Pembayaran Jasa Review &amp; Format Dokumen</t>
  </si>
  <si>
    <t>Pendapatan Usaha Utama</t>
  </si>
  <si>
    <t>Pemasukan</t>
  </si>
  <si>
    <t>2026-01-03</t>
  </si>
  <si>
    <t>Pembayaran Sewa Server &amp; Hosting Bulanan</t>
  </si>
  <si>
    <t>Beban Operasional &amp; Software</t>
  </si>
  <si>
    <t>Pengeluaran</t>
  </si>
  <si>
    <t>2026-01-05</t>
  </si>
  <si>
    <t>Pembayaran Jasa Formating Laporan Keuangan</t>
  </si>
  <si>
    <t>2026-01-08</t>
  </si>
  <si>
    <t>Pembelian Berlangganan Aplikasi Visual / Editing</t>
  </si>
  <si>
    <t>2026-01-10</t>
  </si>
  <si>
    <t>Komisi Penjualan Affiliate / Mitra</t>
  </si>
  <si>
    <t>Pendapatan Lain-lain</t>
  </si>
  <si>
    <t>2026-01-12</t>
  </si>
  <si>
    <t>Pembayaran Jasa Edit &amp; Koreksi PUEBI Skripsi</t>
  </si>
  <si>
    <t>2026-01-15</t>
  </si>
  <si>
    <t>Biaya Perpanjangan Domain &amp; SSL</t>
  </si>
  <si>
    <t>2026-01-18</t>
  </si>
  <si>
    <t>Biaya Promosi &amp; Iklan Digital (Social Media)</t>
  </si>
  <si>
    <t>Beban Pemasaran &amp; Promosi</t>
  </si>
  <si>
    <t>2026-01-20</t>
  </si>
  <si>
    <t>Pembayaran Jasa Review &amp; Edit Makalah Akademik</t>
  </si>
  <si>
    <t>2026-01-22</t>
  </si>
  <si>
    <t>Pembelian Alat Tulis &amp; Perlengkapan Kantor</t>
  </si>
  <si>
    <t>Beban Perlengkapan</t>
  </si>
  <si>
    <t>2026-01-25</t>
  </si>
  <si>
    <t>Beban Air, Listrik &amp; Internet Bulanan</t>
  </si>
  <si>
    <t>Beban Utilitas</t>
  </si>
  <si>
    <t>2026-01-28</t>
  </si>
  <si>
    <t>Pembayaran Jasa Format Laporan Keuangan Usaha</t>
  </si>
  <si>
    <t>2026-01-30</t>
  </si>
  <si>
    <t>Transportasi &amp; Operasional Lapangan</t>
  </si>
  <si>
    <t>TOTAL TRANSAKSI</t>
  </si>
  <si>
    <t>LAPORAN LABA RUGI</t>
  </si>
  <si>
    <t>Periode: 1 Januari 2026 – 31 Januari 2026</t>
  </si>
  <si>
    <t>Kode / Deskripsi Akun</t>
  </si>
  <si>
    <t>Catatan / Kategori</t>
  </si>
  <si>
    <t>Jumlah (IDR)</t>
  </si>
  <si>
    <t>PENDAPATAN (REVENUE)</t>
  </si>
  <si>
    <t xml:space="preserve">  Pendapatan Usaha Utama</t>
  </si>
  <si>
    <t>Jurnal Transaksi!D5:D17</t>
  </si>
  <si>
    <t xml:space="preserve">  Pendapatan Lain-lain</t>
  </si>
  <si>
    <t>TOTAL PENDAPATAN</t>
  </si>
  <si>
    <t>BEBAN OPERASIONAL (OPERATING EXPENSES)</t>
  </si>
  <si>
    <t xml:space="preserve">  Beban Operasional &amp; Software/Hosting</t>
  </si>
  <si>
    <t xml:space="preserve">  Beban Pemasaran &amp; Promosi</t>
  </si>
  <si>
    <t xml:space="preserve">  Beban Utilitas (Internet &amp; Listrik)</t>
  </si>
  <si>
    <t xml:space="preserve">  Beban Perlengkapan Kantor</t>
  </si>
  <si>
    <t>TOTAL BEBAN OPERASIONAL</t>
  </si>
  <si>
    <t>LABA BERSIH (NET PROFIT)</t>
  </si>
  <si>
    <t>LAPORAN ARUS KAS (DIRECT METHOD)</t>
  </si>
  <si>
    <t>Deskripsi Arus Kas</t>
  </si>
  <si>
    <t>Referensi</t>
  </si>
  <si>
    <t>Arus Kas dari Aktivitas Operasional</t>
  </si>
  <si>
    <t xml:space="preserve">  Penerimaan Kas dari Pelanggan Utama</t>
  </si>
  <si>
    <t>Laba Rugi!C6</t>
  </si>
  <si>
    <t xml:space="preserve">  Penerimaan Kas dari Komisi / Affiliate</t>
  </si>
  <si>
    <t>Laba Rugi!C7</t>
  </si>
  <si>
    <t xml:space="preserve">  Pengeluaran Kas Biaya Operasional &amp; Software</t>
  </si>
  <si>
    <t>Laba Rugi!C11</t>
  </si>
  <si>
    <t xml:space="preserve">  Pengeluaran Kas Biaya Pemasaran &amp; Iklan</t>
  </si>
  <si>
    <t>Laba Rugi!C12</t>
  </si>
  <si>
    <t xml:space="preserve">  Pengeluaran Kas Biaya Utilitas</t>
  </si>
  <si>
    <t>Laba Rugi!C13</t>
  </si>
  <si>
    <t xml:space="preserve">  Pengeluaran Kas Biaya Perlengkapan</t>
  </si>
  <si>
    <t>Laba Rugi!C14</t>
  </si>
  <si>
    <t>Arus Kas Bersih dari Aktivitas Operasional</t>
  </si>
  <si>
    <t>Kenaikan (Penurunan) Bersih Kas</t>
  </si>
  <si>
    <t>Kas Awal Periode (1 Januari 2026)</t>
  </si>
  <si>
    <t>Saldo Awal</t>
  </si>
  <si>
    <t>KAS AKHIR PERIODE (31 Januari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</si>
</sst>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\ #,##0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0" fillId="0" borderId="2" xfId="0" applyBorder="1"/>
    <xf numFmtId="0" fontId="5" fillId="0" borderId="3" xfId="0" applyFont="1" applyBorder="1" applyAlignment="1">
      <alignment horizontal="left" vertical="center"/>
    </xf>
    <xf numFmtId="0" fontId="0" fillId="0" borderId="3" xfId="0" applyBorder="1"/>
    <xf numFmtId="164" fontId="5" fillId="0" borderId="3" xfId="0" applyNumberFormat="1" applyFont="1" applyBorder="1" applyAlignment="1">
      <alignment horizontal="right" vertical="center"/>
    </xf>
    <xf numFmtId="0" fontId="5" fillId="4" borderId="0" xfId="0" applyFont="1" applyFill="1"/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5" fillId="0" borderId="2" xfId="0" applyFont="1" applyBorder="1"/>
    <xf numFmtId="0" fontId="0" fillId="0" borderId="2" xfId="0" applyBorder="1" applyAlignment="1">
      <alignment horizontal="center" vertical="center"/>
    </xf>
    <xf numFmtId="164" fontId="5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4" borderId="3" xfId="0" applyFont="1" applyFill="1" applyBorder="1"/>
    <xf numFmtId="0" fontId="0" fillId="4" borderId="3" xfId="0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46" customWidth="1"/>
    <col min="4" max="4" width="30" customWidth="1"/>
    <col min="5" max="5" width="15" customWidth="1"/>
    <col min="6" max="7" width="20" customWidth="1"/>
  </cols>
  <sheetData>
    <row r="1" spans="1:7" ht="21" x14ac:dyDescent="0.3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>
        <v>1</v>
      </c>
      <c r="B5" s="4" t="s">
        <v>9</v>
      </c>
      <c r="C5" s="5" t="s">
        <v>10</v>
      </c>
      <c r="D5" s="5" t="s">
        <v>11</v>
      </c>
      <c r="E5" s="4" t="s">
        <v>12</v>
      </c>
      <c r="F5" s="6">
        <v>1500000</v>
      </c>
      <c r="G5" s="6">
        <v>0</v>
      </c>
    </row>
    <row r="6" spans="1:7" x14ac:dyDescent="0.25">
      <c r="A6" s="7">
        <v>2</v>
      </c>
      <c r="B6" s="7" t="s">
        <v>13</v>
      </c>
      <c r="C6" s="8" t="s">
        <v>14</v>
      </c>
      <c r="D6" s="8" t="s">
        <v>15</v>
      </c>
      <c r="E6" s="7" t="s">
        <v>16</v>
      </c>
      <c r="F6" s="9">
        <v>0</v>
      </c>
      <c r="G6" s="9">
        <v>250000</v>
      </c>
    </row>
    <row r="7" spans="1:7" x14ac:dyDescent="0.25">
      <c r="A7" s="4">
        <v>3</v>
      </c>
      <c r="B7" s="4" t="s">
        <v>17</v>
      </c>
      <c r="C7" s="5" t="s">
        <v>18</v>
      </c>
      <c r="D7" s="5" t="s">
        <v>11</v>
      </c>
      <c r="E7" s="4" t="s">
        <v>12</v>
      </c>
      <c r="F7" s="6">
        <v>2000000</v>
      </c>
      <c r="G7" s="6">
        <v>0</v>
      </c>
    </row>
    <row r="8" spans="1:7" x14ac:dyDescent="0.25">
      <c r="A8" s="7">
        <v>4</v>
      </c>
      <c r="B8" s="7" t="s">
        <v>19</v>
      </c>
      <c r="C8" s="8" t="s">
        <v>20</v>
      </c>
      <c r="D8" s="8" t="s">
        <v>15</v>
      </c>
      <c r="E8" s="7" t="s">
        <v>16</v>
      </c>
      <c r="F8" s="9">
        <v>0</v>
      </c>
      <c r="G8" s="9">
        <v>150000</v>
      </c>
    </row>
    <row r="9" spans="1:7" x14ac:dyDescent="0.25">
      <c r="A9" s="4">
        <v>5</v>
      </c>
      <c r="B9" s="4" t="s">
        <v>21</v>
      </c>
      <c r="C9" s="5" t="s">
        <v>22</v>
      </c>
      <c r="D9" s="5" t="s">
        <v>23</v>
      </c>
      <c r="E9" s="4" t="s">
        <v>12</v>
      </c>
      <c r="F9" s="6">
        <v>450000</v>
      </c>
      <c r="G9" s="6">
        <v>0</v>
      </c>
    </row>
    <row r="10" spans="1:7" x14ac:dyDescent="0.25">
      <c r="A10" s="7">
        <v>6</v>
      </c>
      <c r="B10" s="7" t="s">
        <v>24</v>
      </c>
      <c r="C10" s="8" t="s">
        <v>25</v>
      </c>
      <c r="D10" s="8" t="s">
        <v>11</v>
      </c>
      <c r="E10" s="7" t="s">
        <v>12</v>
      </c>
      <c r="F10" s="9">
        <v>1800000</v>
      </c>
      <c r="G10" s="9">
        <v>0</v>
      </c>
    </row>
    <row r="11" spans="1:7" x14ac:dyDescent="0.25">
      <c r="A11" s="4">
        <v>7</v>
      </c>
      <c r="B11" s="4" t="s">
        <v>26</v>
      </c>
      <c r="C11" s="5" t="s">
        <v>27</v>
      </c>
      <c r="D11" s="5" t="s">
        <v>15</v>
      </c>
      <c r="E11" s="4" t="s">
        <v>16</v>
      </c>
      <c r="F11" s="6">
        <v>0</v>
      </c>
      <c r="G11" s="6">
        <v>180000</v>
      </c>
    </row>
    <row r="12" spans="1:7" x14ac:dyDescent="0.25">
      <c r="A12" s="7">
        <v>8</v>
      </c>
      <c r="B12" s="7" t="s">
        <v>28</v>
      </c>
      <c r="C12" s="8" t="s">
        <v>29</v>
      </c>
      <c r="D12" s="8" t="s">
        <v>30</v>
      </c>
      <c r="E12" s="7" t="s">
        <v>16</v>
      </c>
      <c r="F12" s="9">
        <v>0</v>
      </c>
      <c r="G12" s="9">
        <v>500000</v>
      </c>
    </row>
    <row r="13" spans="1:7" x14ac:dyDescent="0.25">
      <c r="A13" s="4">
        <v>9</v>
      </c>
      <c r="B13" s="4" t="s">
        <v>31</v>
      </c>
      <c r="C13" s="5" t="s">
        <v>32</v>
      </c>
      <c r="D13" s="5" t="s">
        <v>11</v>
      </c>
      <c r="E13" s="4" t="s">
        <v>12</v>
      </c>
      <c r="F13" s="6">
        <v>1250000</v>
      </c>
      <c r="G13" s="6">
        <v>0</v>
      </c>
    </row>
    <row r="14" spans="1:7" x14ac:dyDescent="0.25">
      <c r="A14" s="7">
        <v>10</v>
      </c>
      <c r="B14" s="7" t="s">
        <v>33</v>
      </c>
      <c r="C14" s="8" t="s">
        <v>34</v>
      </c>
      <c r="D14" s="8" t="s">
        <v>35</v>
      </c>
      <c r="E14" s="7" t="s">
        <v>16</v>
      </c>
      <c r="F14" s="9">
        <v>0</v>
      </c>
      <c r="G14" s="9">
        <v>120000</v>
      </c>
    </row>
    <row r="15" spans="1:7" x14ac:dyDescent="0.25">
      <c r="A15" s="4">
        <v>11</v>
      </c>
      <c r="B15" s="4" t="s">
        <v>36</v>
      </c>
      <c r="C15" s="5" t="s">
        <v>37</v>
      </c>
      <c r="D15" s="5" t="s">
        <v>38</v>
      </c>
      <c r="E15" s="4" t="s">
        <v>16</v>
      </c>
      <c r="F15" s="6">
        <v>0</v>
      </c>
      <c r="G15" s="6">
        <v>450000</v>
      </c>
    </row>
    <row r="16" spans="1:7" x14ac:dyDescent="0.25">
      <c r="A16" s="7">
        <v>12</v>
      </c>
      <c r="B16" s="7" t="s">
        <v>39</v>
      </c>
      <c r="C16" s="8" t="s">
        <v>40</v>
      </c>
      <c r="D16" s="8" t="s">
        <v>11</v>
      </c>
      <c r="E16" s="7" t="s">
        <v>12</v>
      </c>
      <c r="F16" s="9">
        <v>2500000</v>
      </c>
      <c r="G16" s="9">
        <v>0</v>
      </c>
    </row>
    <row r="17" spans="1:7" x14ac:dyDescent="0.25">
      <c r="A17" s="4">
        <v>13</v>
      </c>
      <c r="B17" s="4" t="s">
        <v>41</v>
      </c>
      <c r="C17" s="5" t="s">
        <v>42</v>
      </c>
      <c r="D17" s="5" t="s">
        <v>15</v>
      </c>
      <c r="E17" s="4" t="s">
        <v>16</v>
      </c>
      <c r="F17" s="6">
        <v>0</v>
      </c>
      <c r="G17" s="6">
        <v>200000</v>
      </c>
    </row>
    <row r="18" spans="1:7" x14ac:dyDescent="0.25">
      <c r="A18" s="10"/>
      <c r="B18" s="10"/>
      <c r="C18" s="11" t="s">
        <v>43</v>
      </c>
      <c r="D18" s="12"/>
      <c r="E18" s="12"/>
      <c r="F18" s="13">
        <f>SUM(F5:F17)</f>
        <v>9500000</v>
      </c>
      <c r="G18" s="13">
        <f>SUM(G5:G17)</f>
        <v>1850000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5" customWidth="1"/>
    <col min="2" max="2" width="25" customWidth="1"/>
    <col min="3" max="3" width="22" customWidth="1"/>
  </cols>
  <sheetData>
    <row r="1" spans="1:3" ht="21" x14ac:dyDescent="0.35">
      <c r="A1" s="1" t="s">
        <v>44</v>
      </c>
    </row>
    <row r="2" spans="1:3" x14ac:dyDescent="0.25">
      <c r="A2" s="2" t="s">
        <v>45</v>
      </c>
    </row>
    <row r="4" spans="1:3" x14ac:dyDescent="0.25">
      <c r="A4" s="3" t="s">
        <v>46</v>
      </c>
      <c r="B4" s="3" t="s">
        <v>47</v>
      </c>
      <c r="C4" s="3" t="s">
        <v>48</v>
      </c>
    </row>
    <row r="5" spans="1:3" x14ac:dyDescent="0.25">
      <c r="A5" s="14" t="s">
        <v>49</v>
      </c>
      <c r="B5" s="15"/>
      <c r="C5" s="16"/>
    </row>
    <row r="6" spans="1:3" x14ac:dyDescent="0.25">
      <c r="A6" s="17" t="s">
        <v>50</v>
      </c>
      <c r="B6" s="18" t="s">
        <v>51</v>
      </c>
      <c r="C6" s="19">
        <f>SUMIF('Jurnal Transaksi'!$D$5:$D$17, "Pendapatan Usaha Utama", 'Jurnal Transaksi'!$F$5:$F$17)</f>
        <v>9050000</v>
      </c>
    </row>
    <row r="7" spans="1:3" x14ac:dyDescent="0.25">
      <c r="A7" s="17" t="s">
        <v>52</v>
      </c>
      <c r="B7" s="18" t="s">
        <v>51</v>
      </c>
      <c r="C7" s="19">
        <f>SUMIF('Jurnal Transaksi'!$D$5:$D$17, "Pendapatan Lain-lain", 'Jurnal Transaksi'!$F$5:$F$17)</f>
        <v>450000</v>
      </c>
    </row>
    <row r="8" spans="1:3" x14ac:dyDescent="0.25">
      <c r="A8" s="20" t="s">
        <v>53</v>
      </c>
      <c r="B8" s="21"/>
      <c r="C8" s="22">
        <f>SUM(C6:C7)</f>
        <v>9500000</v>
      </c>
    </row>
    <row r="9" spans="1:3" x14ac:dyDescent="0.25">
      <c r="A9" s="17"/>
      <c r="B9" s="18"/>
      <c r="C9" s="23"/>
    </row>
    <row r="10" spans="1:3" x14ac:dyDescent="0.25">
      <c r="A10" s="14" t="s">
        <v>54</v>
      </c>
      <c r="B10" s="15"/>
      <c r="C10" s="16"/>
    </row>
    <row r="11" spans="1:3" x14ac:dyDescent="0.25">
      <c r="A11" s="17" t="s">
        <v>55</v>
      </c>
      <c r="B11" s="18" t="s">
        <v>51</v>
      </c>
      <c r="C11" s="19">
        <f>SUMIF('Jurnal Transaksi'!$D$5:$D$17, "Beban Operasional &amp; Software", 'Jurnal Transaksi'!$G$5:$G$17)</f>
        <v>780000</v>
      </c>
    </row>
    <row r="12" spans="1:3" x14ac:dyDescent="0.25">
      <c r="A12" s="17" t="s">
        <v>56</v>
      </c>
      <c r="B12" s="18" t="s">
        <v>51</v>
      </c>
      <c r="C12" s="19">
        <f>SUMIF('Jurnal Transaksi'!$D$5:$D$17, "Beban Pemasaran &amp; Promosi", 'Jurnal Transaksi'!$G$5:$G$17)</f>
        <v>500000</v>
      </c>
    </row>
    <row r="13" spans="1:3" x14ac:dyDescent="0.25">
      <c r="A13" s="17" t="s">
        <v>57</v>
      </c>
      <c r="B13" s="18" t="s">
        <v>51</v>
      </c>
      <c r="C13" s="19">
        <f>SUMIF('Jurnal Transaksi'!$D$5:$D$17, "Beban Utilitas", 'Jurnal Transaksi'!$G$5:$G$17)</f>
        <v>450000</v>
      </c>
    </row>
    <row r="14" spans="1:3" x14ac:dyDescent="0.25">
      <c r="A14" s="17" t="s">
        <v>58</v>
      </c>
      <c r="B14" s="18" t="s">
        <v>51</v>
      </c>
      <c r="C14" s="19">
        <f>SUMIF('Jurnal Transaksi'!$D$5:$D$17, "Beban Perlengkapan", 'Jurnal Transaksi'!$G$5:$G$17)</f>
        <v>120000</v>
      </c>
    </row>
    <row r="15" spans="1:3" x14ac:dyDescent="0.25">
      <c r="A15" s="20" t="s">
        <v>59</v>
      </c>
      <c r="B15" s="21"/>
      <c r="C15" s="22">
        <f>SUM(C11:C14)</f>
        <v>1850000</v>
      </c>
    </row>
    <row r="16" spans="1:3" x14ac:dyDescent="0.25">
      <c r="A16" s="17"/>
      <c r="B16" s="18"/>
      <c r="C16" s="23"/>
    </row>
    <row r="17" spans="1:3" x14ac:dyDescent="0.25">
      <c r="A17" s="24" t="s">
        <v>60</v>
      </c>
      <c r="B17" s="25"/>
      <c r="C17" s="26">
        <f>C8-C15</f>
        <v>7650000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5" customWidth="1"/>
    <col min="2" max="2" width="20" customWidth="1"/>
    <col min="3" max="3" width="22" customWidth="1"/>
  </cols>
  <sheetData>
    <row r="1" spans="1:3" ht="21" x14ac:dyDescent="0.35">
      <c r="A1" s="1" t="s">
        <v>61</v>
      </c>
    </row>
    <row r="2" spans="1:3" x14ac:dyDescent="0.25">
      <c r="A2" s="2" t="s">
        <v>45</v>
      </c>
    </row>
    <row r="4" spans="1:3" x14ac:dyDescent="0.25">
      <c r="A4" s="3" t="s">
        <v>62</v>
      </c>
      <c r="B4" s="3" t="s">
        <v>63</v>
      </c>
      <c r="C4" s="3" t="s">
        <v>48</v>
      </c>
    </row>
    <row r="5" spans="1:3" x14ac:dyDescent="0.25">
      <c r="A5" s="14" t="s">
        <v>64</v>
      </c>
      <c r="B5" s="15"/>
      <c r="C5" s="14"/>
    </row>
    <row r="6" spans="1:3" x14ac:dyDescent="0.25">
      <c r="A6" s="17" t="s">
        <v>65</v>
      </c>
      <c r="B6" s="18" t="s">
        <v>66</v>
      </c>
      <c r="C6" s="19">
        <f>'Laporan Laba Rugi'!C6</f>
        <v>9050000</v>
      </c>
    </row>
    <row r="7" spans="1:3" x14ac:dyDescent="0.25">
      <c r="A7" s="17" t="s">
        <v>67</v>
      </c>
      <c r="B7" s="18" t="s">
        <v>68</v>
      </c>
      <c r="C7" s="19">
        <f>'Laporan Laba Rugi'!C7</f>
        <v>450000</v>
      </c>
    </row>
    <row r="8" spans="1:3" x14ac:dyDescent="0.25">
      <c r="A8" s="17" t="s">
        <v>69</v>
      </c>
      <c r="B8" s="18" t="s">
        <v>70</v>
      </c>
      <c r="C8" s="19">
        <f>-'Laporan Laba Rugi'!C11</f>
        <v>-780000</v>
      </c>
    </row>
    <row r="9" spans="1:3" x14ac:dyDescent="0.25">
      <c r="A9" s="17" t="s">
        <v>71</v>
      </c>
      <c r="B9" s="18" t="s">
        <v>72</v>
      </c>
      <c r="C9" s="19">
        <f>-'Laporan Laba Rugi'!C12</f>
        <v>-500000</v>
      </c>
    </row>
    <row r="10" spans="1:3" x14ac:dyDescent="0.25">
      <c r="A10" s="17" t="s">
        <v>73</v>
      </c>
      <c r="B10" s="18" t="s">
        <v>74</v>
      </c>
      <c r="C10" s="19">
        <f>-'Laporan Laba Rugi'!C13</f>
        <v>-450000</v>
      </c>
    </row>
    <row r="11" spans="1:3" x14ac:dyDescent="0.25">
      <c r="A11" s="17" t="s">
        <v>75</v>
      </c>
      <c r="B11" s="18" t="s">
        <v>76</v>
      </c>
      <c r="C11" s="19">
        <f>-'Laporan Laba Rugi'!C14</f>
        <v>-120000</v>
      </c>
    </row>
    <row r="12" spans="1:3" x14ac:dyDescent="0.25">
      <c r="A12" s="20" t="s">
        <v>77</v>
      </c>
      <c r="B12" s="21"/>
      <c r="C12" s="22">
        <f>SUM(C6:C11)</f>
        <v>7650000</v>
      </c>
    </row>
    <row r="13" spans="1:3" x14ac:dyDescent="0.25">
      <c r="A13" s="17"/>
      <c r="B13" s="18"/>
      <c r="C13" s="17"/>
    </row>
    <row r="14" spans="1:3" x14ac:dyDescent="0.25">
      <c r="A14" s="20" t="s">
        <v>78</v>
      </c>
      <c r="B14" s="21"/>
      <c r="C14" s="22">
        <f>C12</f>
        <v>7650000</v>
      </c>
    </row>
    <row r="15" spans="1:3" x14ac:dyDescent="0.25">
      <c r="A15" s="17" t="s">
        <v>79</v>
      </c>
      <c r="B15" s="18" t="s">
        <v>80</v>
      </c>
      <c r="C15" s="19">
        <v>5000000</v>
      </c>
    </row>
    <row r="16" spans="1:3" x14ac:dyDescent="0.25">
      <c r="A16" s="24" t="s">
        <v>81</v>
      </c>
      <c r="B16" s="25"/>
      <c r="C16" s="26">
        <f>C14+C15</f>
        <v>12650000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Jurnal Transaksi</vt:lpstr>
      <vt:lpstr>Laporan Laba Rugi</vt:lpstr>
      <vt:lpstr>Laporan Arus 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2026-10-27T05:37:07Z</dcterms:created>
  <dcterms:modified xsi:type="dcterms:W3CDTF">2026-10-27T06:31:44Z</dcterms:modified>
</cp:coreProperties>
</file>