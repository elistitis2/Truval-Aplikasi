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rtanggungjawa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5" customWidth="1" min="3" max="3"/>
    <col width="12" customWidth="1" min="4" max="4"/>
    <col width="20" customWidth="1" min="5" max="5"/>
    <col width="22" customWidth="1" min="6" max="6"/>
  </cols>
  <sheetData>
    <row r="1">
      <c r="A1" s="1" t="inlineStr">
        <is>
          <t>HIMPUNAN MAHASISWA MANAJEMEN (HIMA-M)</t>
        </is>
      </c>
    </row>
    <row r="2">
      <c r="A2" s="2" t="inlineStr">
        <is>
          <t>LAPORAN PERTANGGUNGJAWABAN (LPJ) KEUANGAN KEGIATAN SEMINAR NASIONAL 2025</t>
        </is>
      </c>
    </row>
    <row r="4">
      <c r="A4" s="3" t="inlineStr">
        <is>
          <t>No</t>
        </is>
      </c>
      <c r="B4" s="3" t="inlineStr">
        <is>
          <t>Rincian Penerimaan &amp; Pengeluaran</t>
        </is>
      </c>
      <c r="C4" s="3" t="inlineStr">
        <is>
          <t>Volume / Qty</t>
        </is>
      </c>
      <c r="D4" s="3" t="inlineStr">
        <is>
          <t>Satuan</t>
        </is>
      </c>
      <c r="E4" s="3" t="inlineStr">
        <is>
          <t>Harga Satuan (Rp)</t>
        </is>
      </c>
      <c r="F4" s="3" t="inlineStr">
        <is>
          <t>Total Jumlah (Rp)</t>
        </is>
      </c>
    </row>
    <row r="5">
      <c r="A5" s="4" t="inlineStr">
        <is>
          <t>A</t>
        </is>
      </c>
      <c r="B5" s="4" t="inlineStr">
        <is>
          <t>PENERIMAAN DANA / INFLOW</t>
        </is>
      </c>
      <c r="C5" s="5" t="inlineStr"/>
      <c r="D5" s="5" t="inlineStr"/>
      <c r="E5" s="5" t="inlineStr"/>
      <c r="F5" s="5" t="inlineStr"/>
    </row>
    <row r="6">
      <c r="A6" s="5" t="n">
        <v>1</v>
      </c>
      <c r="B6" s="5" t="inlineStr">
        <is>
          <t>Dana Pagu DIPA Rektorat / Dekanat</t>
        </is>
      </c>
      <c r="C6" s="6" t="n">
        <v>1</v>
      </c>
      <c r="D6" s="5" t="inlineStr">
        <is>
          <t>Kegiatan</t>
        </is>
      </c>
      <c r="E6" s="7" t="n">
        <v>15000000</v>
      </c>
      <c r="F6" s="7">
        <f>C6*E6</f>
        <v/>
      </c>
    </row>
    <row r="7">
      <c r="A7" s="5" t="n">
        <v>2</v>
      </c>
      <c r="B7" s="5" t="inlineStr">
        <is>
          <t>HTM Peserta (Early Bird &amp; Regular)</t>
        </is>
      </c>
      <c r="C7" s="6" t="n">
        <v>250</v>
      </c>
      <c r="D7" s="5" t="inlineStr">
        <is>
          <t>Orang</t>
        </is>
      </c>
      <c r="E7" s="7" t="n">
        <v>50000</v>
      </c>
      <c r="F7" s="7">
        <f>C7*E7</f>
        <v/>
      </c>
    </row>
    <row r="8">
      <c r="A8" s="5" t="n">
        <v>3</v>
      </c>
      <c r="B8" s="5" t="inlineStr">
        <is>
          <t>Sponsorship Utama (Bank Syariah Mandiri)</t>
        </is>
      </c>
      <c r="C8" s="6" t="n">
        <v>1</v>
      </c>
      <c r="D8" s="5" t="inlineStr">
        <is>
          <t>Paket Gold</t>
        </is>
      </c>
      <c r="E8" s="7" t="n">
        <v>7500000</v>
      </c>
      <c r="F8" s="7">
        <f>C8*E8</f>
        <v/>
      </c>
    </row>
    <row r="9">
      <c r="A9" s="5" t="n">
        <v>4</v>
      </c>
      <c r="B9" s="5" t="inlineStr">
        <is>
          <t>Hasil Penjualan Merchandise &amp; Danus</t>
        </is>
      </c>
      <c r="C9" s="6" t="n">
        <v>40</v>
      </c>
      <c r="D9" s="5" t="inlineStr">
        <is>
          <t>Pcs</t>
        </is>
      </c>
      <c r="E9" s="7" t="n">
        <v>35000</v>
      </c>
      <c r="F9" s="7">
        <f>C9*E9</f>
        <v/>
      </c>
    </row>
    <row r="10">
      <c r="A10" s="5" t="inlineStr"/>
      <c r="B10" s="4" t="inlineStr">
        <is>
          <t>TOTAL PENERIMAAN DANA</t>
        </is>
      </c>
      <c r="C10" s="5" t="inlineStr"/>
      <c r="D10" s="5" t="inlineStr"/>
      <c r="E10" s="5" t="inlineStr"/>
      <c r="F10" s="8">
        <f>SUM(F6:F9)</f>
        <v/>
      </c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4" t="inlineStr">
        <is>
          <t>B</t>
        </is>
      </c>
      <c r="B12" s="4" t="inlineStr">
        <is>
          <t>PENGELUARAN DANA / OUTFLOW</t>
        </is>
      </c>
      <c r="C12" s="5" t="inlineStr"/>
      <c r="D12" s="5" t="inlineStr"/>
      <c r="E12" s="5" t="inlineStr"/>
      <c r="F12" s="5" t="inlineStr"/>
    </row>
    <row r="13">
      <c r="A13" s="5" t="n">
        <v>1</v>
      </c>
      <c r="B13" s="5" t="inlineStr">
        <is>
          <t>Honorarium Pembicara Utama (Keynote Speaker)</t>
        </is>
      </c>
      <c r="C13" s="6" t="n">
        <v>2</v>
      </c>
      <c r="D13" s="5" t="inlineStr">
        <is>
          <t>Orang</t>
        </is>
      </c>
      <c r="E13" s="7" t="n">
        <v>3500000</v>
      </c>
      <c r="F13" s="7">
        <f>C13*E13</f>
        <v/>
      </c>
    </row>
    <row r="14">
      <c r="A14" s="5" t="n">
        <v>2</v>
      </c>
      <c r="B14" s="5" t="inlineStr">
        <is>
          <t>Sewa Gedung Auditorium &amp; Sound System</t>
        </is>
      </c>
      <c r="C14" s="6" t="n">
        <v>1</v>
      </c>
      <c r="D14" s="5" t="inlineStr">
        <is>
          <t>Hari</t>
        </is>
      </c>
      <c r="E14" s="7" t="n">
        <v>6000000</v>
      </c>
      <c r="F14" s="7">
        <f>C14*E14</f>
        <v/>
      </c>
    </row>
    <row r="15">
      <c r="A15" s="5" t="n">
        <v>3</v>
      </c>
      <c r="B15" s="5" t="inlineStr">
        <is>
          <t>Konsumsi Snack &amp; Lunch Box (Peserta + Panitia)</t>
        </is>
      </c>
      <c r="C15" s="6" t="n">
        <v>300</v>
      </c>
      <c r="D15" s="5" t="inlineStr">
        <is>
          <t>Kotak</t>
        </is>
      </c>
      <c r="E15" s="7" t="n">
        <v>30000</v>
      </c>
      <c r="F15" s="7">
        <f>C15*E15</f>
        <v/>
      </c>
    </row>
    <row r="16">
      <c r="A16" s="5" t="n">
        <v>4</v>
      </c>
      <c r="B16" s="5" t="inlineStr">
        <is>
          <t>Cetak Sertifikat, Banner &amp; Backdrop</t>
        </is>
      </c>
      <c r="C16" s="6" t="n">
        <v>1</v>
      </c>
      <c r="D16" s="5" t="inlineStr">
        <is>
          <t>Paket</t>
        </is>
      </c>
      <c r="E16" s="7" t="n">
        <v>2200000</v>
      </c>
      <c r="F16" s="7">
        <f>C16*E16</f>
        <v/>
      </c>
    </row>
    <row r="17">
      <c r="A17" s="5" t="n">
        <v>5</v>
      </c>
      <c r="B17" s="5" t="inlineStr">
        <is>
          <t>Plakat &amp; Souvenir Pembicara</t>
        </is>
      </c>
      <c r="C17" s="6" t="n">
        <v>2</v>
      </c>
      <c r="D17" s="5" t="inlineStr">
        <is>
          <t>Pcs</t>
        </is>
      </c>
      <c r="E17" s="7" t="n">
        <v>400000</v>
      </c>
      <c r="F17" s="7">
        <f>C17*E17</f>
        <v/>
      </c>
    </row>
    <row r="18">
      <c r="A18" s="5" t="n">
        <v>6</v>
      </c>
      <c r="B18" s="5" t="inlineStr">
        <is>
          <t>Beban Kesekretariatan &amp; Print Out Proposal LPJ</t>
        </is>
      </c>
      <c r="C18" s="6" t="n">
        <v>1</v>
      </c>
      <c r="D18" s="5" t="inlineStr">
        <is>
          <t>Paket</t>
        </is>
      </c>
      <c r="E18" s="7" t="n">
        <v>800000</v>
      </c>
      <c r="F18" s="7">
        <f>C18*E18</f>
        <v/>
      </c>
    </row>
    <row r="19">
      <c r="A19" s="5" t="inlineStr"/>
      <c r="B19" s="4" t="inlineStr">
        <is>
          <t>TOTAL PENGELUARAN DANA</t>
        </is>
      </c>
      <c r="C19" s="5" t="inlineStr"/>
      <c r="D19" s="5" t="inlineStr"/>
      <c r="E19" s="5" t="inlineStr"/>
      <c r="F19" s="8">
        <f>SUM(F13:F18)</f>
        <v/>
      </c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9" t="inlineStr">
        <is>
          <t>SURPLUS / (DEFISIT) KEUANGAN KEGIATAN</t>
        </is>
      </c>
      <c r="C21" s="5" t="inlineStr"/>
      <c r="D21" s="5" t="inlineStr"/>
      <c r="E21" s="5" t="inlineStr"/>
      <c r="F21" s="10">
        <f>F10-F19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